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Hydrogen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<sst xmlns="http://schemas.openxmlformats.org/spreadsheetml/2006/main" count="17" uniqueCount="17">
  <si>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How much H2 is needed to produce 1 ton of H2</t>
  </si>
  <si>
    <t>Process</t>
  </si>
  <si>
    <t>Min scf H2/bbl</t>
  </si>
  <si>
    <t>Max scf H2/bbl</t>
  </si>
  <si>
    <t>Average scf H2/bbl</t>
  </si>
  <si>
    <t>Approx. SG</t>
  </si>
  <si>
    <t>Average (Kg H2/t)</t>
  </si>
  <si>
    <t>Isomerization, jet hydrotreating</t>
  </si>
  <si>
    <t>Gasoline hydrotreating</t>
  </si>
  <si>
    <t>Lube polishing</t>
  </si>
  <si>
    <t>Heavy/coker naphtha hydrotreating</t>
  </si>
  <si>
    <t>Gasoline hydrotreating (ULSG)</t>
  </si>
  <si>
    <t>Diesel hydrotreating (ULSD)</t>
  </si>
  <si>
    <t>Hydrocracking</t>
  </si>
  <si>
    <t>Hydrocracking (residual upgrading)</t>
  </si>
  <si>
    <t>Green fuels</t>
  </si>
  <si>
    <t>Heavy Fuel Oil / Vacuum Gasoil Hydrotreating/ Cracking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</si>
</sst>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 "/>
  </numFmts>
  <fonts count="22">
    <font>
      <sz val="11"/>
      <color theme="1"/>
      <name val="Calibri"/>
      <charset val="134"/>
      <scheme val="minor"/>
    </font>
    <font>
      <b/>
      <sz val="10"/>
      <color theme="1"/>
      <name val="Calibri"/>
      <charset val="134"/>
    </font>
    <font>
      <sz val="10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2" borderId="0" xfId="0" applyFill="1" applyAlignment="1">
      <alignment horizontal="center"/>
    </xf>
    <xf numFmtId="0" fontId="1" fillId="3" borderId="1" xfId="0" applyFont="1" applyFill="1" applyBorder="1" applyAlignment="1"/>
    <xf numFmtId="0" fontId="1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178" fontId="2" fillId="0" borderId="1" xfId="0" applyNumberFormat="1" applyFont="1" applyBorder="1" applyAlignment="1">
      <alignment wrapText="1"/>
    </xf>
    <xf numFmtId="0" fontId="2" fillId="0" borderId="1" xfId="0" applyFont="1" applyFill="1" applyBorder="1" applyAlignment="1">
      <alignment horizontal="justify" vertical="top" wrapText="1"/>
    </xf>
    <xf numFmtId="0" fontId="2" fillId="0" borderId="1" xfId="0" applyFont="1" applyFill="1" applyBorder="1" applyAlignment="1">
      <alignment horizontal="right" vertical="top" wrapText="1"/>
    </xf>
    <xf numFmtId="0" fontId="2" fillId="0" borderId="1" xfId="0" applyFont="1" applyFill="1" applyBorder="1" applyAlignment="1">
      <alignment vertical="top" wrapText="1"/>
    </xf>
    <xf numFmtId="0" fontId="2" fillId="0" borderId="1" xfId="0" applyFont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workbookViewId="0">
      <selection activeCell="D8" sqref="D8"/>
    </sheetView>
  </sheetViews>
  <sheetFormatPr defaultColWidth="9" defaultRowHeight="15" outlineLevelCol="5"/>
  <cols>
    <col min="1" max="1" width="46.2857142857143" customWidth="1"/>
    <col min="2" max="2" width="16.8571428571429" customWidth="1"/>
    <col min="3" max="3" width="12.4285714285714" customWidth="1"/>
    <col min="4" max="4" width="16.1428571428571" customWidth="1"/>
    <col min="5" max="5" width="12.1428571428571" customWidth="1"/>
    <col min="6" max="6" width="14.5714285714286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3" t="s">
        <v>6</v>
      </c>
    </row>
    <row r="3" spans="1:6">
      <c r="A3" s="4" t="s">
        <v>7</v>
      </c>
      <c r="B3" s="5">
        <v>50</v>
      </c>
      <c r="C3" s="5">
        <v>150</v>
      </c>
      <c r="D3" s="5">
        <f>AVERAGE(B3:C3)</f>
        <v>100</v>
      </c>
      <c r="E3" s="4">
        <v>0.8</v>
      </c>
      <c r="F3" s="6">
        <f>D3*(0.0159/E3)</f>
        <v>1.9875</v>
      </c>
    </row>
    <row r="4" spans="1:6">
      <c r="A4" s="4" t="s">
        <v>8</v>
      </c>
      <c r="B4" s="5">
        <v>100</v>
      </c>
      <c r="C4" s="5">
        <v>150</v>
      </c>
      <c r="D4" s="5">
        <f>AVERAGE(B4:C4)</f>
        <v>125</v>
      </c>
      <c r="E4" s="4">
        <v>0.74</v>
      </c>
      <c r="F4" s="6">
        <f t="shared" ref="F4:F11" si="0">D4*(0.0159/E4)</f>
        <v>2.68581081081081</v>
      </c>
    </row>
    <row r="5" spans="1:6">
      <c r="A5" s="4" t="s">
        <v>9</v>
      </c>
      <c r="B5" s="5">
        <v>250</v>
      </c>
      <c r="C5" s="5">
        <v>350</v>
      </c>
      <c r="D5" s="5">
        <f t="shared" ref="D5:D11" si="1">AVERAGE(B5:C5)</f>
        <v>300</v>
      </c>
      <c r="E5" s="4">
        <v>0.88</v>
      </c>
      <c r="F5" s="6">
        <f t="shared" si="0"/>
        <v>5.42045454545455</v>
      </c>
    </row>
    <row r="6" spans="1:6">
      <c r="A6" s="4" t="s">
        <v>10</v>
      </c>
      <c r="B6" s="5">
        <v>50</v>
      </c>
      <c r="C6" s="5">
        <v>500</v>
      </c>
      <c r="D6" s="5">
        <f t="shared" si="1"/>
        <v>275</v>
      </c>
      <c r="E6" s="4">
        <v>0.76</v>
      </c>
      <c r="F6" s="6">
        <f t="shared" si="0"/>
        <v>5.75328947368421</v>
      </c>
    </row>
    <row r="7" spans="1:6">
      <c r="A7" s="4" t="s">
        <v>11</v>
      </c>
      <c r="B7" s="5">
        <v>450</v>
      </c>
      <c r="C7" s="5">
        <v>650</v>
      </c>
      <c r="D7" s="5">
        <f t="shared" si="1"/>
        <v>550</v>
      </c>
      <c r="E7" s="4">
        <v>0.74</v>
      </c>
      <c r="F7" s="6">
        <f t="shared" si="0"/>
        <v>11.8175675675676</v>
      </c>
    </row>
    <row r="8" spans="1:6">
      <c r="A8" s="4" t="s">
        <v>12</v>
      </c>
      <c r="B8" s="5">
        <v>450</v>
      </c>
      <c r="C8" s="5">
        <v>1200</v>
      </c>
      <c r="D8" s="5">
        <f t="shared" si="1"/>
        <v>825</v>
      </c>
      <c r="E8" s="4">
        <v>0.84</v>
      </c>
      <c r="F8" s="6">
        <f t="shared" si="0"/>
        <v>15.6160714285714</v>
      </c>
    </row>
    <row r="9" spans="1:6">
      <c r="A9" s="4" t="s">
        <v>13</v>
      </c>
      <c r="B9" s="5">
        <v>1800</v>
      </c>
      <c r="C9" s="5">
        <v>2000</v>
      </c>
      <c r="D9" s="5">
        <f t="shared" si="1"/>
        <v>1900</v>
      </c>
      <c r="E9" s="4">
        <v>0.85</v>
      </c>
      <c r="F9" s="6">
        <f t="shared" si="0"/>
        <v>35.5411764705882</v>
      </c>
    </row>
    <row r="10" spans="1:6">
      <c r="A10" s="4" t="s">
        <v>14</v>
      </c>
      <c r="B10" s="5">
        <v>1400</v>
      </c>
      <c r="C10" s="5">
        <v>2500</v>
      </c>
      <c r="D10" s="5">
        <f t="shared" si="1"/>
        <v>1950</v>
      </c>
      <c r="E10" s="4">
        <v>0.92</v>
      </c>
      <c r="F10" s="6">
        <f t="shared" si="0"/>
        <v>33.7010869565217</v>
      </c>
    </row>
    <row r="11" spans="1:6">
      <c r="A11" s="4" t="s">
        <v>15</v>
      </c>
      <c r="B11" s="5">
        <v>1700</v>
      </c>
      <c r="C11" s="5">
        <v>2900</v>
      </c>
      <c r="D11" s="5">
        <f t="shared" si="1"/>
        <v>2300</v>
      </c>
      <c r="E11" s="4">
        <v>0.8</v>
      </c>
      <c r="F11" s="6">
        <f t="shared" si="0"/>
        <v>45.7125</v>
      </c>
    </row>
    <row r="12" customHeight="1" spans="1:6">
      <c r="A12" s="7" t="s">
        <v>16</v>
      </c>
      <c r="B12" s="8">
        <v>1000</v>
      </c>
      <c r="C12" s="9">
        <v>2500</v>
      </c>
      <c r="D12" s="10">
        <f>AVERAGE(B12:C12)</f>
        <v>1750</v>
      </c>
      <c r="E12" s="4">
        <v>0.92</v>
      </c>
      <c r="F12" s="6">
        <f>D12*(0.0159/E12)</f>
        <v>30.2445652173913</v>
      </c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Hydrogen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nsimenta babra</cp:lastModifiedBy>
  <dcterms:created xsi:type="dcterms:W3CDTF">2026-03-21T13:03:00Z</dcterms:created>
  <dcterms:modified xsi:type="dcterms:W3CDTF">2026-03-25T13:19:15Z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25F01BB036484689BDB84BD43C9EF423_13</vt:lpwstr>
  </property>
  <property fmtid="{D5CDD505-2E9C-101B-9397-08002B2CF9AE}" pid="3" name="KSOProductBuildVer">
    <vt:lpwstr>1033-12.2.0.23196</vt:lpwstr>
  </property>
</Properties>
</file>